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an\Desktop\Gulf of Mexico Nesting\Data\"/>
    </mc:Choice>
  </mc:AlternateContent>
  <bookViews>
    <workbookView xWindow="375" yWindow="465" windowWidth="28035" windowHeight="16500"/>
  </bookViews>
  <sheets>
    <sheet name="Actions" sheetId="1" r:id="rId1"/>
    <sheet name="Sheet2" sheetId="2" r:id="rId2"/>
    <sheet name="Chart1" sheetId="3" r:id="rId3"/>
    <sheet name="Copy Chart" sheetId="4" r:id="rId4"/>
  </sheets>
  <definedNames>
    <definedName name="_xlnm._FilterDatabase" localSheetId="0" hidden="1">Actions!$A$1:$D$1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0" i="2" l="1"/>
  <c r="D36" i="1" l="1"/>
  <c r="D32" i="1"/>
  <c r="D33" i="1"/>
  <c r="D35" i="1"/>
  <c r="D3" i="1"/>
  <c r="D24" i="1"/>
  <c r="D29" i="1"/>
  <c r="D22" i="1"/>
  <c r="D5" i="1"/>
  <c r="D17" i="1"/>
  <c r="D15" i="1"/>
  <c r="D26" i="1"/>
  <c r="D11" i="1"/>
  <c r="D16" i="1"/>
  <c r="D30" i="1"/>
  <c r="D20" i="1"/>
  <c r="D4" i="1"/>
  <c r="D21" i="1"/>
  <c r="D13" i="1"/>
  <c r="D10" i="1"/>
  <c r="D7" i="1"/>
  <c r="D25" i="1"/>
  <c r="D27" i="1"/>
  <c r="D18" i="1"/>
  <c r="D28" i="1"/>
  <c r="D31" i="1"/>
  <c r="D23" i="1"/>
  <c r="D6" i="1"/>
  <c r="D8" i="1"/>
  <c r="D19" i="1"/>
  <c r="D14" i="1"/>
  <c r="D9" i="1"/>
  <c r="D2" i="1"/>
  <c r="D12" i="1"/>
  <c r="D34" i="1"/>
  <c r="A20" i="2"/>
  <c r="F16" i="1" l="1"/>
  <c r="F15" i="1"/>
  <c r="E38" i="1"/>
  <c r="D38" i="1"/>
  <c r="F17" i="1"/>
  <c r="F3" i="1"/>
</calcChain>
</file>

<file path=xl/sharedStrings.xml><?xml version="1.0" encoding="utf-8"?>
<sst xmlns="http://schemas.openxmlformats.org/spreadsheetml/2006/main" count="88" uniqueCount="25">
  <si>
    <t>DI</t>
  </si>
  <si>
    <t>FM</t>
  </si>
  <si>
    <t>GS</t>
  </si>
  <si>
    <t>OB</t>
  </si>
  <si>
    <t>PCB</t>
  </si>
  <si>
    <t>SJP</t>
  </si>
  <si>
    <t>SJ</t>
  </si>
  <si>
    <t>NA</t>
  </si>
  <si>
    <t>CSB</t>
  </si>
  <si>
    <t>SV</t>
  </si>
  <si>
    <t>CSGI</t>
  </si>
  <si>
    <t>SGI</t>
  </si>
  <si>
    <t>SGISP</t>
  </si>
  <si>
    <t>Pred</t>
  </si>
  <si>
    <t>Wash Over</t>
  </si>
  <si>
    <t>Wash Out</t>
  </si>
  <si>
    <t>Site</t>
  </si>
  <si>
    <t>Action</t>
  </si>
  <si>
    <t>Hatchlings</t>
  </si>
  <si>
    <t>Out of NGM</t>
  </si>
  <si>
    <t>Year</t>
  </si>
  <si>
    <t>P</t>
  </si>
  <si>
    <t>4 x Wou</t>
  </si>
  <si>
    <t>2 x Pred</t>
  </si>
  <si>
    <t>4* W 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</si>
</sst>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1"/>
          <c:tx>
            <c:v>This Study</c:v>
          </c:tx>
          <c:spPr>
            <a:solidFill>
              <a:schemeClr val="accent6"/>
            </a:soli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Sheet2!$A$2:$A$18</c15:sqref>
                  </c15:fullRef>
                </c:ext>
              </c:extLst>
              <c:f>Sheet2!$A$12:$A$18</c:f>
              <c:numCache>
                <c:formatCode>General</c:formatCode>
                <c:ptCount val="7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Sheet2!$B$2:$B$18</c15:sqref>
                  </c15:fullRef>
                </c:ext>
              </c:extLst>
              <c:f>Sheet2!$B$12:$B$18</c:f>
              <c:numCache>
                <c:formatCode>General</c:formatCode>
                <c:ptCount val="7"/>
                <c:pt idx="0">
                  <c:v>48747</c:v>
                </c:pt>
                <c:pt idx="1">
                  <c:v>70398</c:v>
                </c:pt>
                <c:pt idx="2">
                  <c:v>61280</c:v>
                </c:pt>
                <c:pt idx="3">
                  <c:v>81916</c:v>
                </c:pt>
                <c:pt idx="4">
                  <c:v>104392</c:v>
                </c:pt>
                <c:pt idx="5">
                  <c:v>109596</c:v>
                </c:pt>
                <c:pt idx="6">
                  <c:v>71815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2C-4C37-8DC8-FE39901DE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34528736"/>
        <c:axId val="1034529152"/>
        <c:extLst>
          <c:ext xmlns:c15="http://schemas.microsoft.com/office/drawing/2012/chart" uri="{02D57815-91ED-43cb-92C2-25804820EDAC}">
            <c15:filteredBarSeries>
              <c15:ser>
                <c:idx val="1"/>
                <c:order val="0"/>
                <c:tx>
                  <c:v>Brost et al. 2015</c:v>
                </c:tx>
                <c:spPr>
                  <a:solidFill>
                    <a:schemeClr val="accent1"/>
                  </a:solidFill>
                  <a:ln w="9525" cap="flat" cmpd="sng" algn="ctr">
                    <a:solidFill>
                      <a:schemeClr val="accent5"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ullRef>
                          <c15:sqref>Sheet2!$A$2:$A$18</c15:sqref>
                        </c15:fullRef>
                        <c15:formulaRef>
                          <c15:sqref>Sheet2!$A$12:$A$18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2012</c:v>
                      </c:pt>
                      <c:pt idx="1">
                        <c:v>2013</c:v>
                      </c:pt>
                      <c:pt idx="2">
                        <c:v>2014</c:v>
                      </c:pt>
                      <c:pt idx="3">
                        <c:v>2015</c:v>
                      </c:pt>
                      <c:pt idx="4">
                        <c:v>2016</c:v>
                      </c:pt>
                      <c:pt idx="5">
                        <c:v>2017</c:v>
                      </c:pt>
                      <c:pt idx="6">
                        <c:v>2018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Sheet2!$C$2:$C$18</c15:sqref>
                        </c15:fullRef>
                        <c15:formulaRef>
                          <c15:sqref>Sheet2!$C$12:$C$18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19727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82C-4C37-8DC8-FE39901DEA42}"/>
                  </c:ext>
                </c:extLst>
              </c15:ser>
            </c15:filteredBarSeries>
          </c:ext>
        </c:extLst>
      </c:barChart>
      <c:catAx>
        <c:axId val="1034528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>
                    <a:solidFill>
                      <a:schemeClr val="tx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529152"/>
        <c:crosses val="autoZero"/>
        <c:auto val="1"/>
        <c:lblAlgn val="ctr"/>
        <c:lblOffset val="100"/>
        <c:noMultiLvlLbl val="0"/>
      </c:catAx>
      <c:valAx>
        <c:axId val="1034529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>
                    <a:solidFill>
                      <a:schemeClr val="tx1"/>
                    </a:solidFill>
                  </a:rPr>
                  <a:t>Estimated 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52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Brost et al. 2015</c:v>
          </c:tx>
          <c:spPr>
            <a:solidFill>
              <a:schemeClr val="accent1"/>
            </a:soli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Sheet2!$A$2:$A$18</c:f>
              <c:numCache>
                <c:formatCode>General</c:formatCode>
                <c:ptCount val="1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</c:numCache>
            </c:numRef>
          </c:cat>
          <c:val>
            <c:numRef>
              <c:f>Sheet2!$C$2:$C$18</c:f>
              <c:numCache>
                <c:formatCode>General</c:formatCode>
                <c:ptCount val="17"/>
                <c:pt idx="0">
                  <c:v>41550</c:v>
                </c:pt>
                <c:pt idx="1">
                  <c:v>55472</c:v>
                </c:pt>
                <c:pt idx="2">
                  <c:v>30613</c:v>
                </c:pt>
                <c:pt idx="3">
                  <c:v>8146</c:v>
                </c:pt>
                <c:pt idx="4">
                  <c:v>35549</c:v>
                </c:pt>
                <c:pt idx="5">
                  <c:v>26101</c:v>
                </c:pt>
                <c:pt idx="6">
                  <c:v>33090</c:v>
                </c:pt>
                <c:pt idx="7">
                  <c:v>39388</c:v>
                </c:pt>
                <c:pt idx="8">
                  <c:v>0</c:v>
                </c:pt>
                <c:pt idx="9">
                  <c:v>46620</c:v>
                </c:pt>
                <c:pt idx="10">
                  <c:v>19727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D9-45C7-BF0C-883474EFAE15}"/>
            </c:ext>
          </c:extLst>
        </c:ser>
        <c:ser>
          <c:idx val="0"/>
          <c:order val="1"/>
          <c:tx>
            <c:v>This Study</c:v>
          </c:tx>
          <c:spPr>
            <a:solidFill>
              <a:schemeClr val="accent6"/>
            </a:soli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</c:spPr>
          <c:invertIfNegative val="0"/>
          <c:cat>
            <c:numRef>
              <c:f>Sheet2!$A$2:$A$18</c:f>
              <c:numCache>
                <c:formatCode>General</c:formatCode>
                <c:ptCount val="17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2018</c:v>
                </c:pt>
              </c:numCache>
            </c:numRef>
          </c:cat>
          <c:val>
            <c:numRef>
              <c:f>Sheet2!$B$2:$B$18</c:f>
              <c:numCache>
                <c:formatCode>General</c:formatCode>
                <c:ptCount val="17"/>
                <c:pt idx="10">
                  <c:v>48747</c:v>
                </c:pt>
                <c:pt idx="11">
                  <c:v>70398</c:v>
                </c:pt>
                <c:pt idx="12">
                  <c:v>61280</c:v>
                </c:pt>
                <c:pt idx="13">
                  <c:v>81916</c:v>
                </c:pt>
                <c:pt idx="14">
                  <c:v>104392</c:v>
                </c:pt>
                <c:pt idx="15">
                  <c:v>109596</c:v>
                </c:pt>
                <c:pt idx="16">
                  <c:v>71815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D9-45C7-BF0C-883474EFAE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34528736"/>
        <c:axId val="1034529152"/>
      </c:barChart>
      <c:catAx>
        <c:axId val="10345287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>
                    <a:solidFill>
                      <a:schemeClr val="tx1"/>
                    </a:solidFill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529152"/>
        <c:crosses val="autoZero"/>
        <c:auto val="1"/>
        <c:lblAlgn val="ctr"/>
        <c:lblOffset val="100"/>
        <c:noMultiLvlLbl val="0"/>
      </c:catAx>
      <c:valAx>
        <c:axId val="10345291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>
                    <a:solidFill>
                      <a:schemeClr val="tx1"/>
                    </a:solidFill>
                  </a:rPr>
                  <a:t>Estimated 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4528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"/>
  <sheetViews>
    <sheetView tabSelected="1" workbookViewId="0">
      <selection activeCell="A2" sqref="A2:A11"/>
    </sheetView>
  </sheetViews>
  <sheetFormatPr defaultColWidth="10.875" defaultRowHeight="15.75" x14ac:dyDescent="0.25"/>
  <cols>
    <col min="1" max="16384" width="10.875" style="1"/>
  </cols>
  <sheetData>
    <row r="1" spans="1:8" x14ac:dyDescent="0.25">
      <c r="A1" s="1" t="s">
        <v>16</v>
      </c>
      <c r="B1" s="1" t="s">
        <v>17</v>
      </c>
      <c r="C1" s="1" t="s">
        <v>18</v>
      </c>
      <c r="D1" s="1" t="s">
        <v>19</v>
      </c>
      <c r="F1" s="1">
        <v>78306</v>
      </c>
    </row>
    <row r="2" spans="1:8" x14ac:dyDescent="0.25">
      <c r="A2" s="2" t="s">
        <v>11</v>
      </c>
      <c r="B2" s="2" t="s">
        <v>15</v>
      </c>
      <c r="C2" s="2">
        <v>5231</v>
      </c>
      <c r="D2" s="2">
        <f>(C2/$F$1)*100</f>
        <v>6.6802033049830154</v>
      </c>
    </row>
    <row r="3" spans="1:8" x14ac:dyDescent="0.25">
      <c r="A3" s="2" t="s">
        <v>5</v>
      </c>
      <c r="B3" s="2" t="s">
        <v>13</v>
      </c>
      <c r="C3" s="2">
        <v>3868</v>
      </c>
      <c r="D3" s="2">
        <f>(C3/$F$1)*100</f>
        <v>4.9395959441166699</v>
      </c>
      <c r="F3" s="1">
        <f>SUM(D2:D11)</f>
        <v>36.86562970908998</v>
      </c>
      <c r="G3" s="1" t="s">
        <v>11</v>
      </c>
      <c r="H3" s="1" t="s">
        <v>22</v>
      </c>
    </row>
    <row r="4" spans="1:8" x14ac:dyDescent="0.25">
      <c r="A4" s="2" t="s">
        <v>5</v>
      </c>
      <c r="B4" s="2" t="s">
        <v>14</v>
      </c>
      <c r="C4" s="2">
        <v>3114</v>
      </c>
      <c r="D4" s="2">
        <f>(C4/$F$1)*100</f>
        <v>3.9767067657650754</v>
      </c>
      <c r="G4" s="1" t="s">
        <v>5</v>
      </c>
      <c r="H4" s="1" t="s">
        <v>23</v>
      </c>
    </row>
    <row r="5" spans="1:8" x14ac:dyDescent="0.25">
      <c r="A5" s="2" t="s">
        <v>10</v>
      </c>
      <c r="B5" s="2" t="s">
        <v>13</v>
      </c>
      <c r="C5" s="2">
        <v>3093</v>
      </c>
      <c r="D5" s="2">
        <f>(C5/$F$1)*100</f>
        <v>3.9498888974024982</v>
      </c>
      <c r="G5" s="1" t="s">
        <v>10</v>
      </c>
      <c r="H5" s="1" t="s">
        <v>24</v>
      </c>
    </row>
    <row r="6" spans="1:8" x14ac:dyDescent="0.25">
      <c r="A6" s="2" t="s">
        <v>5</v>
      </c>
      <c r="B6" s="2" t="s">
        <v>15</v>
      </c>
      <c r="C6" s="2">
        <v>2591</v>
      </c>
      <c r="D6" s="2">
        <f>(C6/$F$1)*100</f>
        <v>3.308814139401834</v>
      </c>
      <c r="G6" s="1" t="s">
        <v>6</v>
      </c>
    </row>
    <row r="7" spans="1:8" x14ac:dyDescent="0.25">
      <c r="A7" s="2" t="s">
        <v>11</v>
      </c>
      <c r="B7" s="2" t="s">
        <v>14</v>
      </c>
      <c r="C7" s="2">
        <v>2571</v>
      </c>
      <c r="D7" s="2">
        <f>(C7/$F$1)*100</f>
        <v>3.2832733123898552</v>
      </c>
      <c r="G7" s="1" t="s">
        <v>1</v>
      </c>
    </row>
    <row r="8" spans="1:8" x14ac:dyDescent="0.25">
      <c r="A8" s="2" t="s">
        <v>6</v>
      </c>
      <c r="B8" s="2" t="s">
        <v>15</v>
      </c>
      <c r="C8" s="2">
        <v>2517</v>
      </c>
      <c r="D8" s="2">
        <f>(C8/$F$1)*100</f>
        <v>3.2143130794575128</v>
      </c>
    </row>
    <row r="9" spans="1:8" x14ac:dyDescent="0.25">
      <c r="A9" s="2" t="s">
        <v>10</v>
      </c>
      <c r="B9" s="2" t="s">
        <v>15</v>
      </c>
      <c r="C9" s="2">
        <v>2386</v>
      </c>
      <c r="D9" s="2">
        <f>(C9/$F$1)*100</f>
        <v>3.0470206625290528</v>
      </c>
    </row>
    <row r="10" spans="1:8" x14ac:dyDescent="0.25">
      <c r="A10" s="2" t="s">
        <v>10</v>
      </c>
      <c r="B10" s="2" t="s">
        <v>14</v>
      </c>
      <c r="C10" s="2">
        <v>1789</v>
      </c>
      <c r="D10" s="2">
        <f>(C10/$F$1)*100</f>
        <v>2.2846269762214901</v>
      </c>
    </row>
    <row r="11" spans="1:8" x14ac:dyDescent="0.25">
      <c r="A11" s="2" t="s">
        <v>1</v>
      </c>
      <c r="B11" s="2" t="s">
        <v>14</v>
      </c>
      <c r="C11" s="2">
        <v>1708</v>
      </c>
      <c r="D11" s="2">
        <f>(C11/$F$1)*100</f>
        <v>2.1811866268229765</v>
      </c>
    </row>
    <row r="12" spans="1:8" x14ac:dyDescent="0.25">
      <c r="A12" s="2" t="s">
        <v>12</v>
      </c>
      <c r="B12" s="2" t="s">
        <v>15</v>
      </c>
      <c r="C12" s="2">
        <v>1696</v>
      </c>
      <c r="D12" s="2">
        <f>(C12/$F$1)*100</f>
        <v>2.1658621306157895</v>
      </c>
    </row>
    <row r="13" spans="1:8" x14ac:dyDescent="0.25">
      <c r="A13" s="2" t="s">
        <v>9</v>
      </c>
      <c r="B13" s="2" t="s">
        <v>14</v>
      </c>
      <c r="C13" s="2">
        <v>1465</v>
      </c>
      <c r="D13" s="2">
        <f>(C13/$F$1)*100</f>
        <v>1.870865578627436</v>
      </c>
    </row>
    <row r="14" spans="1:8" x14ac:dyDescent="0.25">
      <c r="A14" s="2" t="s">
        <v>9</v>
      </c>
      <c r="B14" s="2" t="s">
        <v>15</v>
      </c>
      <c r="C14" s="2">
        <v>1236</v>
      </c>
      <c r="D14" s="2">
        <f>(C14/$F$1)*100</f>
        <v>1.5784231093402805</v>
      </c>
    </row>
    <row r="15" spans="1:8" x14ac:dyDescent="0.25">
      <c r="A15" s="1" t="s">
        <v>12</v>
      </c>
      <c r="B15" s="1" t="s">
        <v>13</v>
      </c>
      <c r="C15" s="1">
        <v>1074</v>
      </c>
      <c r="D15" s="1">
        <f>(C15/$F$1)*100</f>
        <v>1.3715424105432534</v>
      </c>
      <c r="F15" s="1">
        <f>SUM(D3,D4,D14,D16,D17,D23,D28,D30,D32,D33,D34,D36)</f>
        <v>13.006666155850125</v>
      </c>
      <c r="G15" s="1" t="s">
        <v>13</v>
      </c>
    </row>
    <row r="16" spans="1:8" x14ac:dyDescent="0.25">
      <c r="A16" s="1" t="s">
        <v>2</v>
      </c>
      <c r="B16" s="1" t="s">
        <v>14</v>
      </c>
      <c r="C16" s="1">
        <v>754</v>
      </c>
      <c r="D16" s="1">
        <f>(C16/$F$1)*100</f>
        <v>0.96288917835159504</v>
      </c>
      <c r="F16" s="1">
        <f>SUM(D5,D6,D10,D11,D12,D18,D19,D21,D25,D26,D31)</f>
        <v>16.698592700431639</v>
      </c>
      <c r="G16" s="1" t="s">
        <v>14</v>
      </c>
    </row>
    <row r="17" spans="1:7" x14ac:dyDescent="0.25">
      <c r="A17" s="1" t="s">
        <v>11</v>
      </c>
      <c r="B17" s="1" t="s">
        <v>13</v>
      </c>
      <c r="C17" s="1">
        <v>556</v>
      </c>
      <c r="D17" s="1">
        <f>(C17/$F$1)*100</f>
        <v>0.71003499093300637</v>
      </c>
      <c r="F17" s="1">
        <f>SUM(D2,D7,D8,D9,D13,D15,D20,D22,D24,D27,D29,D35)</f>
        <v>21.608816693484538</v>
      </c>
      <c r="G17" s="1" t="s">
        <v>15</v>
      </c>
    </row>
    <row r="18" spans="1:7" x14ac:dyDescent="0.25">
      <c r="A18" s="1" t="s">
        <v>1</v>
      </c>
      <c r="B18" s="1" t="s">
        <v>15</v>
      </c>
      <c r="C18" s="1">
        <v>543</v>
      </c>
      <c r="D18" s="1">
        <f>(C18/$F$1)*100</f>
        <v>0.69343345337522022</v>
      </c>
    </row>
    <row r="19" spans="1:7" x14ac:dyDescent="0.25">
      <c r="A19" s="1" t="s">
        <v>8</v>
      </c>
      <c r="B19" s="1" t="s">
        <v>15</v>
      </c>
      <c r="C19" s="1">
        <v>531</v>
      </c>
      <c r="D19" s="1">
        <f>(C19/$F$1)*100</f>
        <v>0.6781089571680331</v>
      </c>
    </row>
    <row r="20" spans="1:7" x14ac:dyDescent="0.25">
      <c r="A20" s="1" t="s">
        <v>4</v>
      </c>
      <c r="B20" s="1" t="s">
        <v>14</v>
      </c>
      <c r="C20" s="1">
        <v>510</v>
      </c>
      <c r="D20" s="1">
        <f>(C20/$F$1)*100</f>
        <v>0.6512910888054555</v>
      </c>
    </row>
    <row r="21" spans="1:7" x14ac:dyDescent="0.25">
      <c r="A21" s="1" t="s">
        <v>8</v>
      </c>
      <c r="B21" s="1" t="s">
        <v>14</v>
      </c>
      <c r="C21" s="1">
        <v>439</v>
      </c>
      <c r="D21" s="1">
        <f>(C21/$F$1)*100</f>
        <v>0.56062115291293135</v>
      </c>
    </row>
    <row r="22" spans="1:7" x14ac:dyDescent="0.25">
      <c r="A22" s="1" t="s">
        <v>9</v>
      </c>
      <c r="B22" s="1" t="s">
        <v>13</v>
      </c>
      <c r="C22" s="1">
        <v>421</v>
      </c>
      <c r="D22" s="1">
        <f>(C22/$F$1)*100</f>
        <v>0.53763440860215062</v>
      </c>
    </row>
    <row r="23" spans="1:7" x14ac:dyDescent="0.25">
      <c r="A23" s="1" t="s">
        <v>4</v>
      </c>
      <c r="B23" s="1" t="s">
        <v>15</v>
      </c>
      <c r="C23" s="1">
        <v>388</v>
      </c>
      <c r="D23" s="1">
        <f>(C23/$F$1)*100</f>
        <v>0.49549204403238578</v>
      </c>
    </row>
    <row r="24" spans="1:7" x14ac:dyDescent="0.25">
      <c r="A24" s="1" t="s">
        <v>6</v>
      </c>
      <c r="B24" s="1" t="s">
        <v>13</v>
      </c>
      <c r="C24" s="1">
        <v>354</v>
      </c>
      <c r="D24" s="1">
        <f>(C24/$F$1)*100</f>
        <v>0.45207263811202203</v>
      </c>
    </row>
    <row r="25" spans="1:7" x14ac:dyDescent="0.25">
      <c r="A25" s="1" t="s">
        <v>12</v>
      </c>
      <c r="B25" s="1" t="s">
        <v>14</v>
      </c>
      <c r="C25" s="1">
        <v>348</v>
      </c>
      <c r="D25" s="1">
        <f>(C25/$F$1)*100</f>
        <v>0.44441039000842847</v>
      </c>
    </row>
    <row r="26" spans="1:7" x14ac:dyDescent="0.25">
      <c r="A26" s="1" t="s">
        <v>0</v>
      </c>
      <c r="B26" s="1" t="s">
        <v>14</v>
      </c>
      <c r="C26" s="1">
        <v>295</v>
      </c>
      <c r="D26" s="1">
        <f>(C26/$F$1)*100</f>
        <v>0.37672719842668506</v>
      </c>
    </row>
    <row r="27" spans="1:7" x14ac:dyDescent="0.25">
      <c r="A27" s="1" t="s">
        <v>0</v>
      </c>
      <c r="B27" s="1" t="s">
        <v>15</v>
      </c>
      <c r="C27" s="1">
        <v>239</v>
      </c>
      <c r="D27" s="1">
        <f>(C27/$F$1)*100</f>
        <v>0.30521288279314485</v>
      </c>
    </row>
    <row r="28" spans="1:7" x14ac:dyDescent="0.25">
      <c r="A28" s="1" t="s">
        <v>2</v>
      </c>
      <c r="B28" s="1" t="s">
        <v>15</v>
      </c>
      <c r="C28" s="1">
        <v>193</v>
      </c>
      <c r="D28" s="1">
        <f>(C28/$F$1)*100</f>
        <v>0.24646898066559395</v>
      </c>
    </row>
    <row r="29" spans="1:7" x14ac:dyDescent="0.25">
      <c r="A29" s="1" t="s">
        <v>8</v>
      </c>
      <c r="B29" s="1" t="s">
        <v>13</v>
      </c>
      <c r="C29" s="1">
        <v>153</v>
      </c>
      <c r="D29" s="1">
        <f>(C29/$F$1)*100</f>
        <v>0.19538732664163666</v>
      </c>
    </row>
    <row r="30" spans="1:7" x14ac:dyDescent="0.25">
      <c r="A30" s="1" t="s">
        <v>3</v>
      </c>
      <c r="B30" s="1" t="s">
        <v>14</v>
      </c>
      <c r="C30" s="1">
        <v>72</v>
      </c>
      <c r="D30" s="1">
        <f>(C30/$F$1)*100</f>
        <v>9.1946977243123132E-2</v>
      </c>
    </row>
    <row r="31" spans="1:7" x14ac:dyDescent="0.25">
      <c r="A31" s="1" t="s">
        <v>3</v>
      </c>
      <c r="B31" s="1" t="s">
        <v>15</v>
      </c>
      <c r="C31" s="1">
        <v>43</v>
      </c>
      <c r="D31" s="1">
        <f>(C31/$F$1)*100</f>
        <v>5.4912778075754093E-2</v>
      </c>
    </row>
    <row r="32" spans="1:7" x14ac:dyDescent="0.25">
      <c r="A32" s="1" t="s">
        <v>2</v>
      </c>
      <c r="B32" s="1" t="s">
        <v>13</v>
      </c>
      <c r="C32" s="1">
        <v>25</v>
      </c>
      <c r="D32" s="1">
        <f>(C32/$F$1)*100</f>
        <v>3.1926033764973306E-2</v>
      </c>
    </row>
    <row r="33" spans="1:5" x14ac:dyDescent="0.25">
      <c r="A33" s="1" t="s">
        <v>3</v>
      </c>
      <c r="B33" s="1" t="s">
        <v>13</v>
      </c>
      <c r="C33" s="1">
        <v>0</v>
      </c>
      <c r="D33" s="1">
        <f>(C33/$F$1)*100</f>
        <v>0</v>
      </c>
    </row>
    <row r="34" spans="1:5" x14ac:dyDescent="0.25">
      <c r="A34" s="1" t="s">
        <v>0</v>
      </c>
      <c r="B34" s="1" t="s">
        <v>13</v>
      </c>
      <c r="C34" s="1">
        <v>0</v>
      </c>
      <c r="D34" s="1">
        <f>(C34/$F$1)*100</f>
        <v>0</v>
      </c>
    </row>
    <row r="35" spans="1:5" x14ac:dyDescent="0.25">
      <c r="A35" s="1" t="s">
        <v>4</v>
      </c>
      <c r="B35" s="1" t="s">
        <v>13</v>
      </c>
      <c r="C35" s="1">
        <v>0</v>
      </c>
      <c r="D35" s="1">
        <f>(C35/$F$1)*100</f>
        <v>0</v>
      </c>
    </row>
    <row r="36" spans="1:5" x14ac:dyDescent="0.25">
      <c r="A36" s="1" t="s">
        <v>1</v>
      </c>
      <c r="B36" s="1" t="s">
        <v>13</v>
      </c>
      <c r="C36" s="1">
        <v>-21</v>
      </c>
      <c r="D36" s="1">
        <f>(C36/$F$1)*100</f>
        <v>-2.6817868362577584E-2</v>
      </c>
    </row>
    <row r="38" spans="1:5" x14ac:dyDescent="0.25">
      <c r="D38" s="1">
        <f>AVERAGE(D2:D36)</f>
        <v>1.4661164442790375</v>
      </c>
      <c r="E38" s="1">
        <f>_xlfn.STDEV.P(D2:D36)</f>
        <v>1.6343391669790615</v>
      </c>
    </row>
  </sheetData>
  <autoFilter ref="A1:D1">
    <sortState ref="A2:D37">
      <sortCondition descending="1" ref="D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selection activeCell="B21" sqref="B21"/>
    </sheetView>
  </sheetViews>
  <sheetFormatPr defaultColWidth="11" defaultRowHeight="15.75" x14ac:dyDescent="0.25"/>
  <sheetData>
    <row r="1" spans="1:3" x14ac:dyDescent="0.25">
      <c r="A1" t="s">
        <v>20</v>
      </c>
      <c r="B1" t="s">
        <v>21</v>
      </c>
    </row>
    <row r="2" spans="1:3" x14ac:dyDescent="0.25">
      <c r="A2">
        <v>2002</v>
      </c>
      <c r="C2">
        <v>41550</v>
      </c>
    </row>
    <row r="3" spans="1:3" x14ac:dyDescent="0.25">
      <c r="A3">
        <v>2003</v>
      </c>
      <c r="C3">
        <v>55472</v>
      </c>
    </row>
    <row r="4" spans="1:3" x14ac:dyDescent="0.25">
      <c r="A4">
        <v>2004</v>
      </c>
      <c r="C4">
        <v>30613</v>
      </c>
    </row>
    <row r="5" spans="1:3" x14ac:dyDescent="0.25">
      <c r="A5">
        <v>2005</v>
      </c>
      <c r="C5">
        <v>8146</v>
      </c>
    </row>
    <row r="6" spans="1:3" x14ac:dyDescent="0.25">
      <c r="A6">
        <v>2006</v>
      </c>
      <c r="C6">
        <v>35549</v>
      </c>
    </row>
    <row r="7" spans="1:3" x14ac:dyDescent="0.25">
      <c r="A7">
        <v>2007</v>
      </c>
      <c r="C7">
        <v>26101</v>
      </c>
    </row>
    <row r="8" spans="1:3" x14ac:dyDescent="0.25">
      <c r="A8">
        <v>2008</v>
      </c>
      <c r="C8">
        <v>33090</v>
      </c>
    </row>
    <row r="9" spans="1:3" x14ac:dyDescent="0.25">
      <c r="A9">
        <v>2009</v>
      </c>
      <c r="C9">
        <v>39388</v>
      </c>
    </row>
    <row r="10" spans="1:3" x14ac:dyDescent="0.25">
      <c r="A10">
        <v>2010</v>
      </c>
      <c r="C10" t="s">
        <v>7</v>
      </c>
    </row>
    <row r="11" spans="1:3" x14ac:dyDescent="0.25">
      <c r="A11">
        <v>2011</v>
      </c>
      <c r="C11">
        <v>46620</v>
      </c>
    </row>
    <row r="12" spans="1:3" x14ac:dyDescent="0.25">
      <c r="A12">
        <v>2012</v>
      </c>
      <c r="B12">
        <v>48747</v>
      </c>
      <c r="C12">
        <v>19727</v>
      </c>
    </row>
    <row r="13" spans="1:3" x14ac:dyDescent="0.25">
      <c r="A13">
        <v>2013</v>
      </c>
      <c r="B13">
        <v>70398</v>
      </c>
    </row>
    <row r="14" spans="1:3" x14ac:dyDescent="0.25">
      <c r="A14">
        <v>2014</v>
      </c>
      <c r="B14">
        <v>61280</v>
      </c>
    </row>
    <row r="15" spans="1:3" x14ac:dyDescent="0.25">
      <c r="A15">
        <v>2015</v>
      </c>
      <c r="B15">
        <v>81916</v>
      </c>
    </row>
    <row r="16" spans="1:3" x14ac:dyDescent="0.25">
      <c r="A16">
        <v>2016</v>
      </c>
      <c r="B16">
        <v>104392</v>
      </c>
    </row>
    <row r="17" spans="1:2" x14ac:dyDescent="0.25">
      <c r="A17">
        <v>2017</v>
      </c>
      <c r="B17">
        <v>109596</v>
      </c>
    </row>
    <row r="18" spans="1:2" x14ac:dyDescent="0.25">
      <c r="A18">
        <v>2018</v>
      </c>
      <c r="B18">
        <v>71815</v>
      </c>
    </row>
    <row r="20" spans="1:2" x14ac:dyDescent="0.25">
      <c r="A20">
        <f>AVERAGE(B12:B18)</f>
        <v>78306.28571428571</v>
      </c>
      <c r="B20">
        <f>_xlfn.STDEV.P(B12:B18)</f>
        <v>20496.913695998832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2</vt:i4>
      </vt:variant>
    </vt:vector>
  </HeadingPairs>
  <TitlesOfParts>
    <vt:vector size="4" baseType="lpstr">
      <vt:lpstr>Actions</vt:lpstr>
      <vt:lpstr>Sheet2</vt:lpstr>
      <vt:lpstr>Chart1</vt:lpstr>
      <vt:lpstr>Copy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Ian</cp:lastModifiedBy>
  <dcterms:created xsi:type="dcterms:W3CDTF">2019-12-30T15:12:18Z</dcterms:created>
  <dcterms:modified xsi:type="dcterms:W3CDTF">2020-05-05T18:44:08Z</dcterms:modified>
</cp:coreProperties>
</file>